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p\Desktop\MocaGithub\13. StakingPro\"/>
    </mc:Choice>
  </mc:AlternateContent>
  <xr:revisionPtr revIDLastSave="0" documentId="13_ncr:1_{9CC7A657-4478-4611-AD50-E71B2F6E23A4}" xr6:coauthVersionLast="47" xr6:coauthVersionMax="47" xr10:uidLastSave="{00000000-0000-0000-0000-000000000000}"/>
  <bookViews>
    <workbookView xWindow="-120" yWindow="-120" windowWidth="38640" windowHeight="21120" xr2:uid="{D4AE6079-A429-4DB7-B90A-4CF1B4A0B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15" i="1" s="1"/>
  <c r="B39" i="1"/>
  <c r="C39" i="1" s="1"/>
  <c r="Q24" i="1"/>
  <c r="E12" i="1"/>
  <c r="E15" i="1"/>
  <c r="E21" i="1"/>
  <c r="E24" i="1"/>
  <c r="H6" i="1"/>
  <c r="K24" i="1"/>
  <c r="K21" i="1"/>
  <c r="K18" i="1"/>
  <c r="K15" i="1"/>
  <c r="K12" i="1"/>
  <c r="B37" i="1"/>
  <c r="B6" i="1"/>
  <c r="K3" i="1"/>
  <c r="K9" i="1" s="1"/>
  <c r="H3" i="1"/>
  <c r="H24" i="1" s="1"/>
  <c r="N3" i="1"/>
  <c r="E3" i="1"/>
  <c r="Q3" i="1" s="1"/>
  <c r="Q21" i="1" s="1"/>
  <c r="B24" i="1"/>
  <c r="B15" i="1"/>
  <c r="B9" i="1"/>
  <c r="B21" i="1"/>
  <c r="B18" i="1"/>
  <c r="B12" i="1"/>
  <c r="T6" i="1" l="1"/>
  <c r="T9" i="1"/>
  <c r="T21" i="1"/>
  <c r="E9" i="1"/>
  <c r="E6" i="1"/>
  <c r="H9" i="1"/>
  <c r="Q6" i="1"/>
  <c r="Q9" i="1"/>
  <c r="Q12" i="1"/>
  <c r="T18" i="1"/>
  <c r="H18" i="1"/>
  <c r="T24" i="1"/>
  <c r="T12" i="1"/>
  <c r="H12" i="1"/>
  <c r="H15" i="1"/>
  <c r="Q15" i="1"/>
  <c r="K6" i="1"/>
  <c r="H21" i="1"/>
  <c r="Q18" i="1"/>
  <c r="E18" i="1"/>
  <c r="N15" i="1"/>
  <c r="N21" i="1"/>
  <c r="N18" i="1"/>
  <c r="N24" i="1"/>
  <c r="N9" i="1"/>
  <c r="N6" i="1"/>
  <c r="N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rjp</author>
  </authors>
  <commentList>
    <comment ref="B39" authorId="0" shapeId="0" xr:uid="{10D90C9D-33FF-430F-ADFC-F36C4EF8BA40}">
      <text>
        <r>
          <rPr>
            <b/>
            <sz val="9"/>
            <color indexed="81"/>
            <rFont val="Tahoma"/>
            <family val="2"/>
          </rPr>
          <t>rjp:</t>
        </r>
        <r>
          <rPr>
            <sz val="9"/>
            <color indexed="81"/>
            <rFont val="Tahoma"/>
            <family val="2"/>
          </rPr>
          <t xml:space="preserve">
solidity: integer division rounds down (truncates). 
use QUOTIENT which performs integer division without rounding up.
((emittedRewardsRebased * 1E18) / totalBalance)
((emittedRewardsRebased * 1E18) / totalBoostedRp)
((emittedRewardsRebased * 1E18) / totalBoostedRp </t>
        </r>
        <r>
          <rPr>
            <b/>
            <sz val="9"/>
            <color indexed="81"/>
            <rFont val="Tahoma"/>
            <family val="2"/>
          </rPr>
          <t>* 1e18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i/>
            <sz val="9"/>
            <color indexed="81"/>
            <rFont val="Tahoma"/>
            <family val="2"/>
          </rPr>
          <t xml:space="preserve">** since our tabulated figures on RP are not expressed in 1e18 precision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<sst xmlns="http://schemas.openxmlformats.org/spreadsheetml/2006/main" count="187" uniqueCount="35">
  <si>
    <t>nfts</t>
  </si>
  <si>
    <t>totalRp</t>
  </si>
  <si>
    <t>Base assets</t>
  </si>
  <si>
    <t>nftBoostFactor: 10%</t>
  </si>
  <si>
    <t>totalBoostedRp</t>
  </si>
  <si>
    <t>boostFactor</t>
  </si>
  <si>
    <t>nftBoostFactor: 50%</t>
  </si>
  <si>
    <t>nftBoostFactor: 2x</t>
  </si>
  <si>
    <t>nftBoostFactor: 30%</t>
  </si>
  <si>
    <t>nftBoostFactor: 80%</t>
  </si>
  <si>
    <t>nftBoostFactor: 3x</t>
  </si>
  <si>
    <t>emittedRewards / totalBoostedRp</t>
  </si>
  <si>
    <t>both in 1e18</t>
  </si>
  <si>
    <t>Projected Base assets: 2x</t>
  </si>
  <si>
    <t>Projected Base assets: 1.2x</t>
  </si>
  <si>
    <t>Projected Base assets: 1.5x</t>
  </si>
  <si>
    <t>Projected Base assets: 1.7x</t>
  </si>
  <si>
    <t>Projected Base assets: 3x</t>
  </si>
  <si>
    <t>formula</t>
  </si>
  <si>
    <t>min</t>
  </si>
  <si>
    <t>max</t>
  </si>
  <si>
    <t xml:space="preserve">emittedRewards </t>
  </si>
  <si>
    <t xml:space="preserve"> totalBoostedRp</t>
  </si>
  <si>
    <t>X</t>
  </si>
  <si>
    <t>however, it is a convenient static reference point, and any additional exponents of the numerator serve to negate the denominator</t>
  </si>
  <si>
    <t>Explanation</t>
  </si>
  <si>
    <t>perUnitEmitted</t>
  </si>
  <si>
    <t>unlikely that we choose to only emit 1 token per second</t>
  </si>
  <si>
    <t>Projected Base assets: 5x</t>
  </si>
  <si>
    <t>nftBoostFactor: 4x</t>
  </si>
  <si>
    <t>CONCLUSION</t>
  </si>
  <si>
    <t xml:space="preserve">Even if base RP increases by 5x, and that each NFT is staked with a boostFactor of 4x, </t>
  </si>
  <si>
    <t>with a emission rate of 1e18 (1 token), per second</t>
  </si>
  <si>
    <t xml:space="preserve">reward per unit boosted RP is &gt; 1. </t>
  </si>
  <si>
    <t>while we can indeed emit &lt; 1e18 per second - those cases impractical, given the starting magnitude of 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</si>
</sst>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</cellStyleXfs>
  <cellXfs count="30">
    <xf numFmtId="0" fontId="0" fillId="0" borderId="0" xfId="0"/>
    <xf numFmtId="0" fontId="5" fillId="0" borderId="0" xfId="0" applyFont="1"/>
    <xf numFmtId="169" fontId="0" fillId="0" borderId="0" xfId="1" applyNumberFormat="1" applyFont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9" fontId="0" fillId="0" borderId="0" xfId="0" applyNumberFormat="1"/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7" borderId="0" xfId="0" applyFill="1"/>
    <xf numFmtId="0" fontId="6" fillId="7" borderId="0" xfId="0" applyFont="1" applyFill="1"/>
    <xf numFmtId="0" fontId="5" fillId="8" borderId="0" xfId="0" applyFont="1" applyFill="1"/>
    <xf numFmtId="0" fontId="0" fillId="8" borderId="0" xfId="0" applyFill="1"/>
    <xf numFmtId="169" fontId="0" fillId="8" borderId="0" xfId="1" applyNumberFormat="1" applyFont="1" applyFill="1"/>
    <xf numFmtId="0" fontId="5" fillId="6" borderId="0" xfId="0" applyFont="1" applyFill="1" applyAlignment="1">
      <alignment horizontal="center"/>
    </xf>
    <xf numFmtId="0" fontId="0" fillId="9" borderId="0" xfId="0" applyFill="1"/>
    <xf numFmtId="0" fontId="6" fillId="0" borderId="0" xfId="0" applyFont="1" applyAlignment="1">
      <alignment horizontal="left" indent="3"/>
    </xf>
    <xf numFmtId="0" fontId="5" fillId="10" borderId="0" xfId="0" applyFont="1" applyFill="1" applyAlignment="1">
      <alignment horizontal="center"/>
    </xf>
    <xf numFmtId="0" fontId="0" fillId="0" borderId="3" xfId="0" applyBorder="1"/>
    <xf numFmtId="0" fontId="0" fillId="11" borderId="3" xfId="0" applyFill="1" applyBorder="1"/>
    <xf numFmtId="0" fontId="0" fillId="0" borderId="0" xfId="0" applyFont="1"/>
    <xf numFmtId="0" fontId="5" fillId="0" borderId="0" xfId="0" applyFont="1" applyBorder="1"/>
    <xf numFmtId="0" fontId="0" fillId="0" borderId="0" xfId="0" applyBorder="1"/>
    <xf numFmtId="0" fontId="5" fillId="11" borderId="3" xfId="0" applyFont="1" applyFill="1" applyBorder="1"/>
    <xf numFmtId="0" fontId="3" fillId="2" borderId="0" xfId="3"/>
    <xf numFmtId="11" fontId="0" fillId="0" borderId="3" xfId="0" applyNumberFormat="1" applyBorder="1"/>
    <xf numFmtId="169" fontId="4" fillId="3" borderId="2" xfId="4" applyNumberFormat="1"/>
    <xf numFmtId="0" fontId="5" fillId="12" borderId="0" xfId="0" applyFont="1" applyFill="1" applyBorder="1"/>
    <xf numFmtId="0" fontId="5" fillId="13" borderId="0" xfId="0" applyFont="1" applyFill="1"/>
    <xf numFmtId="0" fontId="5" fillId="14" borderId="4" xfId="0" applyFont="1" applyFill="1" applyBorder="1"/>
    <xf numFmtId="169" fontId="2" fillId="0" borderId="1" xfId="2" applyNumberFormat="1"/>
  </cellXfs>
  <cellStyles count="5">
    <cellStyle name="Bad" xfId="3" builtinId="27"/>
    <cellStyle name="Calculation" xfId="4" builtinId="22"/>
    <cellStyle name="Comma" xfId="1" builtinId="3"/>
    <cellStyle name="Heading 3" xfId="2" builtinId="1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830A-5B72-45C2-8D89-3F695A75DB8B}">
  <dimension ref="A1:U44"/>
  <sheetViews>
    <sheetView tabSelected="1" workbookViewId="0">
      <selection activeCell="G38" sqref="F38:G38"/>
    </sheetView>
  </sheetViews>
  <sheetFormatPr defaultRowHeight="15" x14ac:dyDescent="0.25"/>
  <cols>
    <col min="1" max="1" width="16.5703125" customWidth="1"/>
    <col min="2" max="2" width="21.7109375" bestFit="1" customWidth="1"/>
    <col min="3" max="3" width="15.28515625" bestFit="1" customWidth="1"/>
    <col min="4" max="4" width="14.85546875" bestFit="1" customWidth="1"/>
    <col min="5" max="5" width="20.140625" customWidth="1"/>
    <col min="6" max="6" width="9.85546875" customWidth="1"/>
    <col min="7" max="7" width="14.85546875" bestFit="1" customWidth="1"/>
    <col min="8" max="8" width="20" bestFit="1" customWidth="1"/>
    <col min="10" max="10" width="17.42578125" customWidth="1"/>
    <col min="11" max="11" width="20" bestFit="1" customWidth="1"/>
    <col min="12" max="12" width="9" customWidth="1"/>
    <col min="13" max="13" width="23.42578125" bestFit="1" customWidth="1"/>
    <col min="14" max="14" width="20" bestFit="1" customWidth="1"/>
    <col min="16" max="16" width="23.42578125" bestFit="1" customWidth="1"/>
    <col min="17" max="17" width="20" bestFit="1" customWidth="1"/>
    <col min="19" max="19" width="23.42578125" bestFit="1" customWidth="1"/>
    <col min="20" max="20" width="21.7109375" bestFit="1" customWidth="1"/>
  </cols>
  <sheetData>
    <row r="1" spans="1:21" x14ac:dyDescent="0.25">
      <c r="A1" s="3" t="s">
        <v>2</v>
      </c>
      <c r="B1" s="3"/>
      <c r="C1" s="8"/>
      <c r="D1" s="7" t="s">
        <v>14</v>
      </c>
      <c r="E1" s="7"/>
      <c r="F1" s="8"/>
      <c r="G1" s="7" t="s">
        <v>15</v>
      </c>
      <c r="H1" s="7"/>
      <c r="I1" s="8"/>
      <c r="J1" s="7" t="s">
        <v>16</v>
      </c>
      <c r="K1" s="7"/>
      <c r="L1" s="8"/>
      <c r="M1" s="13" t="s">
        <v>13</v>
      </c>
      <c r="N1" s="13"/>
      <c r="O1" s="8"/>
      <c r="P1" s="13" t="s">
        <v>17</v>
      </c>
      <c r="Q1" s="13"/>
      <c r="R1" s="8"/>
      <c r="S1" s="13" t="s">
        <v>28</v>
      </c>
      <c r="T1" s="13"/>
      <c r="U1" s="8"/>
    </row>
    <row r="2" spans="1:21" x14ac:dyDescent="0.25">
      <c r="A2" s="10" t="s">
        <v>0</v>
      </c>
      <c r="B2" s="11">
        <v>6300</v>
      </c>
      <c r="C2" s="8"/>
      <c r="D2" s="1" t="s">
        <v>0</v>
      </c>
      <c r="E2">
        <v>6300</v>
      </c>
      <c r="F2" s="8"/>
      <c r="G2" s="1" t="s">
        <v>0</v>
      </c>
      <c r="H2">
        <v>6300</v>
      </c>
      <c r="I2" s="8"/>
      <c r="J2" s="1" t="s">
        <v>0</v>
      </c>
      <c r="K2">
        <v>6300</v>
      </c>
      <c r="L2" s="8"/>
      <c r="M2" s="1" t="s">
        <v>0</v>
      </c>
      <c r="N2">
        <v>6300</v>
      </c>
      <c r="O2" s="8"/>
      <c r="P2" s="1" t="s">
        <v>0</v>
      </c>
      <c r="Q2">
        <v>6300</v>
      </c>
      <c r="R2" s="8"/>
      <c r="S2" s="1" t="s">
        <v>0</v>
      </c>
      <c r="T2">
        <v>6300</v>
      </c>
      <c r="U2" s="8"/>
    </row>
    <row r="3" spans="1:21" x14ac:dyDescent="0.25">
      <c r="A3" s="10" t="s">
        <v>1</v>
      </c>
      <c r="B3" s="12">
        <v>6973944052</v>
      </c>
      <c r="C3" s="8"/>
      <c r="D3" s="1" t="s">
        <v>1</v>
      </c>
      <c r="E3" s="2">
        <f>B3*1.2</f>
        <v>8368732862.3999996</v>
      </c>
      <c r="F3" s="9"/>
      <c r="G3" s="1" t="s">
        <v>1</v>
      </c>
      <c r="H3" s="2">
        <f>$B$3*1.5</f>
        <v>10460916078</v>
      </c>
      <c r="I3" s="9"/>
      <c r="J3" s="1" t="s">
        <v>1</v>
      </c>
      <c r="K3" s="2">
        <f>$B$3*1.7</f>
        <v>11855704888.4</v>
      </c>
      <c r="L3" s="9"/>
      <c r="M3" s="1" t="s">
        <v>1</v>
      </c>
      <c r="N3" s="2">
        <f>B3*2</f>
        <v>13947888104</v>
      </c>
      <c r="O3" s="9"/>
      <c r="P3" s="1" t="s">
        <v>1</v>
      </c>
      <c r="Q3" s="2">
        <f>E3*3</f>
        <v>25106198587.199997</v>
      </c>
      <c r="R3" s="9"/>
      <c r="S3" s="1" t="s">
        <v>1</v>
      </c>
      <c r="T3" s="2">
        <f>H3*5</f>
        <v>52304580390</v>
      </c>
      <c r="U3" s="9"/>
    </row>
    <row r="4" spans="1:21" x14ac:dyDescent="0.25">
      <c r="A4" s="4" t="s">
        <v>3</v>
      </c>
      <c r="B4" s="4"/>
      <c r="C4" s="8"/>
      <c r="D4" s="4" t="s">
        <v>3</v>
      </c>
      <c r="E4" s="4"/>
      <c r="F4" s="8"/>
      <c r="G4" s="4" t="s">
        <v>3</v>
      </c>
      <c r="H4" s="4"/>
      <c r="I4" s="8"/>
      <c r="J4" s="4" t="s">
        <v>3</v>
      </c>
      <c r="K4" s="4"/>
      <c r="L4" s="8"/>
      <c r="M4" s="6" t="s">
        <v>3</v>
      </c>
      <c r="N4" s="6"/>
      <c r="O4" s="8"/>
      <c r="P4" s="6" t="s">
        <v>3</v>
      </c>
      <c r="Q4" s="6"/>
      <c r="R4" s="8"/>
      <c r="S4" s="6" t="s">
        <v>3</v>
      </c>
      <c r="T4" s="6"/>
      <c r="U4" s="8"/>
    </row>
    <row r="5" spans="1:21" x14ac:dyDescent="0.25">
      <c r="A5" s="1" t="s">
        <v>5</v>
      </c>
      <c r="B5">
        <v>1.1000000000000001</v>
      </c>
      <c r="C5" s="8"/>
      <c r="D5" s="1" t="s">
        <v>5</v>
      </c>
      <c r="E5">
        <v>1.1000000000000001</v>
      </c>
      <c r="F5" s="8"/>
      <c r="G5" s="1" t="s">
        <v>5</v>
      </c>
      <c r="H5">
        <v>1.1000000000000001</v>
      </c>
      <c r="I5" s="8"/>
      <c r="J5" s="1" t="s">
        <v>5</v>
      </c>
      <c r="K5">
        <v>1.1000000000000001</v>
      </c>
      <c r="L5" s="8"/>
      <c r="M5" s="1" t="s">
        <v>5</v>
      </c>
      <c r="N5">
        <v>1.1000000000000001</v>
      </c>
      <c r="O5" s="8"/>
      <c r="P5" s="1" t="s">
        <v>5</v>
      </c>
      <c r="Q5">
        <v>1.1000000000000001</v>
      </c>
      <c r="R5" s="8"/>
      <c r="S5" s="1" t="s">
        <v>5</v>
      </c>
      <c r="T5">
        <v>1.1000000000000001</v>
      </c>
      <c r="U5" s="8"/>
    </row>
    <row r="6" spans="1:21" x14ac:dyDescent="0.25">
      <c r="A6" s="1" t="s">
        <v>4</v>
      </c>
      <c r="B6" s="5">
        <f>B5*$B$2*$B$3</f>
        <v>48329432280360.008</v>
      </c>
      <c r="C6" s="8"/>
      <c r="D6" s="1" t="s">
        <v>4</v>
      </c>
      <c r="E6" s="5">
        <f>E5*$E$2*$E$3</f>
        <v>57995318736432.008</v>
      </c>
      <c r="F6" s="8"/>
      <c r="G6" s="1" t="s">
        <v>4</v>
      </c>
      <c r="H6" s="5">
        <f>H5*$H$2*$H$3</f>
        <v>72494148420540.016</v>
      </c>
      <c r="I6" s="8"/>
      <c r="J6" s="1" t="s">
        <v>4</v>
      </c>
      <c r="K6" s="5">
        <f>K5*$K$2*$K$3</f>
        <v>82160034876612.016</v>
      </c>
      <c r="L6" s="8"/>
      <c r="M6" s="1" t="s">
        <v>4</v>
      </c>
      <c r="N6" s="5">
        <f>N5*$N$2*$N$3</f>
        <v>96658864560720.016</v>
      </c>
      <c r="O6" s="8"/>
      <c r="P6" s="1" t="s">
        <v>4</v>
      </c>
      <c r="Q6" s="5">
        <f>Q5*$Q$2*$Q$3</f>
        <v>173985956209296</v>
      </c>
      <c r="R6" s="8"/>
      <c r="S6" s="1" t="s">
        <v>4</v>
      </c>
      <c r="T6" s="5">
        <f>T5*$T$2*$T$3</f>
        <v>362470742102700.06</v>
      </c>
      <c r="U6" s="8"/>
    </row>
    <row r="7" spans="1:21" x14ac:dyDescent="0.25">
      <c r="A7" s="4" t="s">
        <v>8</v>
      </c>
      <c r="B7" s="4"/>
      <c r="C7" s="8"/>
      <c r="D7" s="4" t="s">
        <v>8</v>
      </c>
      <c r="E7" s="4"/>
      <c r="F7" s="8"/>
      <c r="G7" s="4" t="s">
        <v>8</v>
      </c>
      <c r="H7" s="4"/>
      <c r="I7" s="8"/>
      <c r="J7" s="4" t="s">
        <v>8</v>
      </c>
      <c r="K7" s="4"/>
      <c r="L7" s="8"/>
      <c r="M7" s="6" t="s">
        <v>8</v>
      </c>
      <c r="N7" s="6"/>
      <c r="O7" s="8"/>
      <c r="P7" s="6" t="s">
        <v>8</v>
      </c>
      <c r="Q7" s="6"/>
      <c r="R7" s="8"/>
      <c r="S7" s="6" t="s">
        <v>8</v>
      </c>
      <c r="T7" s="6"/>
      <c r="U7" s="8"/>
    </row>
    <row r="8" spans="1:21" x14ac:dyDescent="0.25">
      <c r="A8" s="1" t="s">
        <v>5</v>
      </c>
      <c r="B8">
        <v>1.3</v>
      </c>
      <c r="C8" s="8"/>
      <c r="D8" s="1" t="s">
        <v>5</v>
      </c>
      <c r="E8">
        <v>1.3</v>
      </c>
      <c r="F8" s="8"/>
      <c r="G8" s="1" t="s">
        <v>5</v>
      </c>
      <c r="H8">
        <v>1.3</v>
      </c>
      <c r="I8" s="8"/>
      <c r="J8" s="1" t="s">
        <v>5</v>
      </c>
      <c r="K8">
        <v>1.3</v>
      </c>
      <c r="L8" s="8"/>
      <c r="M8" s="1" t="s">
        <v>5</v>
      </c>
      <c r="N8">
        <v>1.3</v>
      </c>
      <c r="O8" s="8"/>
      <c r="P8" s="1" t="s">
        <v>5</v>
      </c>
      <c r="Q8">
        <v>1.3</v>
      </c>
      <c r="R8" s="8"/>
      <c r="S8" s="1" t="s">
        <v>5</v>
      </c>
      <c r="T8">
        <v>1.3</v>
      </c>
      <c r="U8" s="8"/>
    </row>
    <row r="9" spans="1:21" x14ac:dyDescent="0.25">
      <c r="A9" s="1" t="s">
        <v>4</v>
      </c>
      <c r="B9" s="5">
        <f>B8*$B$2*$B$3</f>
        <v>57116601785880</v>
      </c>
      <c r="C9" s="8"/>
      <c r="D9" s="1" t="s">
        <v>4</v>
      </c>
      <c r="E9" s="5">
        <f>E8*$E$2*$E$3</f>
        <v>68539922143056</v>
      </c>
      <c r="F9" s="8"/>
      <c r="G9" s="1" t="s">
        <v>4</v>
      </c>
      <c r="H9" s="5">
        <f>H8*$H$2*$H$3</f>
        <v>85674902678820</v>
      </c>
      <c r="I9" s="8"/>
      <c r="J9" s="1" t="s">
        <v>4</v>
      </c>
      <c r="K9" s="5">
        <f>K8*$K$2*$K$3</f>
        <v>97098223035996</v>
      </c>
      <c r="L9" s="8"/>
      <c r="M9" s="1" t="s">
        <v>4</v>
      </c>
      <c r="N9" s="5">
        <f>N8*$N$2*$N$3</f>
        <v>114233203571760</v>
      </c>
      <c r="O9" s="8"/>
      <c r="P9" s="1" t="s">
        <v>4</v>
      </c>
      <c r="Q9" s="5">
        <f>Q8*$Q$2*$Q$3</f>
        <v>205619766429167.97</v>
      </c>
      <c r="R9" s="8"/>
      <c r="S9" s="1" t="s">
        <v>4</v>
      </c>
      <c r="T9" s="5">
        <f>T8*$T$2*$T$3</f>
        <v>428374513394100</v>
      </c>
      <c r="U9" s="8"/>
    </row>
    <row r="10" spans="1:21" x14ac:dyDescent="0.25">
      <c r="A10" s="4" t="s">
        <v>6</v>
      </c>
      <c r="B10" s="4"/>
      <c r="C10" s="8"/>
      <c r="D10" s="4" t="s">
        <v>6</v>
      </c>
      <c r="E10" s="4"/>
      <c r="F10" s="8"/>
      <c r="G10" s="4" t="s">
        <v>6</v>
      </c>
      <c r="H10" s="4"/>
      <c r="I10" s="8"/>
      <c r="J10" s="4" t="s">
        <v>6</v>
      </c>
      <c r="K10" s="4"/>
      <c r="L10" s="8"/>
      <c r="M10" s="6" t="s">
        <v>6</v>
      </c>
      <c r="N10" s="6"/>
      <c r="O10" s="8"/>
      <c r="P10" s="6" t="s">
        <v>6</v>
      </c>
      <c r="Q10" s="6"/>
      <c r="R10" s="8"/>
      <c r="S10" s="6" t="s">
        <v>6</v>
      </c>
      <c r="T10" s="6"/>
      <c r="U10" s="8"/>
    </row>
    <row r="11" spans="1:21" x14ac:dyDescent="0.25">
      <c r="A11" s="1" t="s">
        <v>5</v>
      </c>
      <c r="B11">
        <v>1.5</v>
      </c>
      <c r="C11" s="8"/>
      <c r="D11" s="1" t="s">
        <v>5</v>
      </c>
      <c r="E11">
        <v>1.5</v>
      </c>
      <c r="F11" s="8"/>
      <c r="G11" s="1" t="s">
        <v>5</v>
      </c>
      <c r="H11">
        <v>1.5</v>
      </c>
      <c r="I11" s="8"/>
      <c r="J11" s="1" t="s">
        <v>5</v>
      </c>
      <c r="K11">
        <v>1.5</v>
      </c>
      <c r="L11" s="8"/>
      <c r="M11" s="1" t="s">
        <v>5</v>
      </c>
      <c r="N11">
        <v>1.5</v>
      </c>
      <c r="O11" s="8"/>
      <c r="P11" s="1" t="s">
        <v>5</v>
      </c>
      <c r="Q11">
        <v>1.5</v>
      </c>
      <c r="R11" s="8"/>
      <c r="S11" s="1" t="s">
        <v>5</v>
      </c>
      <c r="T11">
        <v>1.5</v>
      </c>
      <c r="U11" s="8"/>
    </row>
    <row r="12" spans="1:21" x14ac:dyDescent="0.25">
      <c r="A12" s="1" t="s">
        <v>4</v>
      </c>
      <c r="B12" s="5">
        <f>B11*$B$2*$B$3</f>
        <v>65903771291400</v>
      </c>
      <c r="C12" s="8"/>
      <c r="D12" s="1" t="s">
        <v>4</v>
      </c>
      <c r="E12" s="5">
        <f>E11*$E$2*$E$3</f>
        <v>79084525549680</v>
      </c>
      <c r="F12" s="8"/>
      <c r="G12" s="1" t="s">
        <v>4</v>
      </c>
      <c r="H12" s="5">
        <f>H11*$H$2*$H$3</f>
        <v>98855656937100</v>
      </c>
      <c r="I12" s="8"/>
      <c r="J12" s="1" t="s">
        <v>4</v>
      </c>
      <c r="K12" s="5">
        <f>K11*$K$2*$K$3</f>
        <v>112036411195380</v>
      </c>
      <c r="L12" s="8"/>
      <c r="M12" s="1" t="s">
        <v>4</v>
      </c>
      <c r="N12" s="5">
        <f>N11*$N$2*$N$3</f>
        <v>131807542582800</v>
      </c>
      <c r="O12" s="8"/>
      <c r="P12" s="1" t="s">
        <v>4</v>
      </c>
      <c r="Q12" s="5">
        <f>Q11*$Q$2*$Q$3</f>
        <v>237253576649039.97</v>
      </c>
      <c r="R12" s="8"/>
      <c r="S12" s="1" t="s">
        <v>4</v>
      </c>
      <c r="T12" s="5">
        <f>T11*$T$2*$T$3</f>
        <v>494278284685500</v>
      </c>
      <c r="U12" s="8"/>
    </row>
    <row r="13" spans="1:21" x14ac:dyDescent="0.25">
      <c r="A13" s="4" t="s">
        <v>9</v>
      </c>
      <c r="B13" s="4"/>
      <c r="C13" s="8"/>
      <c r="D13" s="4" t="s">
        <v>9</v>
      </c>
      <c r="E13" s="4"/>
      <c r="F13" s="8"/>
      <c r="G13" s="4" t="s">
        <v>9</v>
      </c>
      <c r="H13" s="4"/>
      <c r="I13" s="8"/>
      <c r="J13" s="4" t="s">
        <v>9</v>
      </c>
      <c r="K13" s="4"/>
      <c r="L13" s="8"/>
      <c r="M13" s="6" t="s">
        <v>9</v>
      </c>
      <c r="N13" s="6"/>
      <c r="O13" s="8"/>
      <c r="P13" s="6" t="s">
        <v>9</v>
      </c>
      <c r="Q13" s="6"/>
      <c r="R13" s="8"/>
      <c r="S13" s="6" t="s">
        <v>9</v>
      </c>
      <c r="T13" s="6"/>
      <c r="U13" s="8"/>
    </row>
    <row r="14" spans="1:21" x14ac:dyDescent="0.25">
      <c r="A14" s="1" t="s">
        <v>5</v>
      </c>
      <c r="B14">
        <v>1.7</v>
      </c>
      <c r="C14" s="8"/>
      <c r="D14" s="1" t="s">
        <v>5</v>
      </c>
      <c r="E14">
        <v>1.7</v>
      </c>
      <c r="F14" s="8"/>
      <c r="G14" s="1" t="s">
        <v>5</v>
      </c>
      <c r="H14">
        <v>1.7</v>
      </c>
      <c r="I14" s="8"/>
      <c r="J14" s="1" t="s">
        <v>5</v>
      </c>
      <c r="K14">
        <v>1.7</v>
      </c>
      <c r="L14" s="8"/>
      <c r="M14" s="1" t="s">
        <v>5</v>
      </c>
      <c r="N14">
        <v>1.7</v>
      </c>
      <c r="O14" s="8"/>
      <c r="P14" s="1" t="s">
        <v>5</v>
      </c>
      <c r="Q14">
        <v>1.7</v>
      </c>
      <c r="R14" s="8"/>
      <c r="S14" s="1" t="s">
        <v>5</v>
      </c>
      <c r="T14">
        <v>1.7</v>
      </c>
      <c r="U14" s="8"/>
    </row>
    <row r="15" spans="1:21" x14ac:dyDescent="0.25">
      <c r="A15" s="1" t="s">
        <v>4</v>
      </c>
      <c r="B15" s="5">
        <f>B14*$B$2*$B$3</f>
        <v>74690940796920</v>
      </c>
      <c r="C15" s="8"/>
      <c r="D15" s="1" t="s">
        <v>4</v>
      </c>
      <c r="E15" s="5">
        <f>E14*$E$2*$E$3</f>
        <v>89629128956304</v>
      </c>
      <c r="F15" s="8"/>
      <c r="G15" s="1" t="s">
        <v>4</v>
      </c>
      <c r="H15" s="5">
        <f>H14*$H$2*$H$3</f>
        <v>112036411195380</v>
      </c>
      <c r="I15" s="8"/>
      <c r="J15" s="1" t="s">
        <v>4</v>
      </c>
      <c r="K15" s="5">
        <f>K14*$K$2*$K$3</f>
        <v>126974599354764</v>
      </c>
      <c r="L15" s="8"/>
      <c r="M15" s="1" t="s">
        <v>4</v>
      </c>
      <c r="N15" s="5">
        <f>N14*$N$2*$N$3</f>
        <v>149381881593840</v>
      </c>
      <c r="O15" s="8"/>
      <c r="P15" s="1" t="s">
        <v>4</v>
      </c>
      <c r="Q15" s="5">
        <f>Q14*$Q$2*$Q$3</f>
        <v>268887386868911.97</v>
      </c>
      <c r="R15" s="8"/>
      <c r="S15" s="1" t="s">
        <v>4</v>
      </c>
      <c r="T15" s="5">
        <f>T14*$T$2*$T$3</f>
        <v>560182055976900</v>
      </c>
      <c r="U15" s="8"/>
    </row>
    <row r="16" spans="1:21" x14ac:dyDescent="0.25">
      <c r="A16" s="4" t="s">
        <v>7</v>
      </c>
      <c r="B16" s="4"/>
      <c r="C16" s="8"/>
      <c r="D16" s="4" t="s">
        <v>7</v>
      </c>
      <c r="E16" s="4"/>
      <c r="F16" s="8"/>
      <c r="G16" s="4" t="s">
        <v>7</v>
      </c>
      <c r="H16" s="4"/>
      <c r="I16" s="8"/>
      <c r="J16" s="4" t="s">
        <v>7</v>
      </c>
      <c r="K16" s="4"/>
      <c r="L16" s="8"/>
      <c r="M16" s="4" t="s">
        <v>7</v>
      </c>
      <c r="N16" s="4"/>
      <c r="O16" s="8"/>
      <c r="P16" s="4" t="s">
        <v>7</v>
      </c>
      <c r="Q16" s="4"/>
      <c r="R16" s="8"/>
      <c r="S16" s="4" t="s">
        <v>7</v>
      </c>
      <c r="T16" s="4"/>
      <c r="U16" s="8"/>
    </row>
    <row r="17" spans="1:21" x14ac:dyDescent="0.25">
      <c r="A17" s="1" t="s">
        <v>5</v>
      </c>
      <c r="B17">
        <v>2</v>
      </c>
      <c r="C17" s="8"/>
      <c r="D17" s="1" t="s">
        <v>5</v>
      </c>
      <c r="E17">
        <v>2</v>
      </c>
      <c r="F17" s="8"/>
      <c r="G17" s="1" t="s">
        <v>5</v>
      </c>
      <c r="H17">
        <v>2</v>
      </c>
      <c r="I17" s="8"/>
      <c r="J17" s="1" t="s">
        <v>5</v>
      </c>
      <c r="K17">
        <v>2</v>
      </c>
      <c r="L17" s="8"/>
      <c r="M17" s="1" t="s">
        <v>5</v>
      </c>
      <c r="N17">
        <v>2</v>
      </c>
      <c r="O17" s="8"/>
      <c r="P17" s="1" t="s">
        <v>5</v>
      </c>
      <c r="Q17">
        <v>2</v>
      </c>
      <c r="R17" s="8"/>
      <c r="S17" s="1" t="s">
        <v>5</v>
      </c>
      <c r="T17">
        <v>2</v>
      </c>
      <c r="U17" s="8"/>
    </row>
    <row r="18" spans="1:21" x14ac:dyDescent="0.25">
      <c r="A18" s="1" t="s">
        <v>4</v>
      </c>
      <c r="B18" s="5">
        <f>B17*$B$2*$B$3</f>
        <v>87871695055200</v>
      </c>
      <c r="C18" s="8"/>
      <c r="D18" s="1" t="s">
        <v>4</v>
      </c>
      <c r="E18" s="5">
        <f>E17*$E$2*$E$3</f>
        <v>105446034066240</v>
      </c>
      <c r="F18" s="8"/>
      <c r="G18" s="1" t="s">
        <v>4</v>
      </c>
      <c r="H18" s="5">
        <f>H17*$H$2*$H$3</f>
        <v>131807542582800</v>
      </c>
      <c r="I18" s="8"/>
      <c r="J18" s="1" t="s">
        <v>4</v>
      </c>
      <c r="K18" s="5">
        <f>K17*$K$2*$K$3</f>
        <v>149381881593840</v>
      </c>
      <c r="L18" s="8"/>
      <c r="M18" s="1" t="s">
        <v>4</v>
      </c>
      <c r="N18" s="5">
        <f>N17*$N$2*$N$3</f>
        <v>175743390110400</v>
      </c>
      <c r="O18" s="8"/>
      <c r="P18" s="1" t="s">
        <v>4</v>
      </c>
      <c r="Q18" s="5">
        <f>Q17*$Q$2*$Q$3</f>
        <v>316338102198719.94</v>
      </c>
      <c r="R18" s="8"/>
      <c r="S18" s="1" t="s">
        <v>4</v>
      </c>
      <c r="T18" s="5">
        <f>T17*$T$2*$T$3</f>
        <v>659037712914000</v>
      </c>
      <c r="U18" s="8"/>
    </row>
    <row r="19" spans="1:21" x14ac:dyDescent="0.25">
      <c r="A19" s="4" t="s">
        <v>10</v>
      </c>
      <c r="B19" s="4"/>
      <c r="C19" s="8"/>
      <c r="D19" s="4" t="s">
        <v>10</v>
      </c>
      <c r="E19" s="4"/>
      <c r="F19" s="8"/>
      <c r="G19" s="4" t="s">
        <v>10</v>
      </c>
      <c r="H19" s="4"/>
      <c r="I19" s="8"/>
      <c r="J19" s="4" t="s">
        <v>10</v>
      </c>
      <c r="K19" s="4"/>
      <c r="L19" s="8"/>
      <c r="M19" s="4" t="s">
        <v>10</v>
      </c>
      <c r="N19" s="4"/>
      <c r="O19" s="8"/>
      <c r="P19" s="4" t="s">
        <v>10</v>
      </c>
      <c r="Q19" s="4"/>
      <c r="R19" s="8"/>
      <c r="S19" s="4" t="s">
        <v>10</v>
      </c>
      <c r="T19" s="4"/>
      <c r="U19" s="8"/>
    </row>
    <row r="20" spans="1:21" x14ac:dyDescent="0.25">
      <c r="A20" s="1" t="s">
        <v>5</v>
      </c>
      <c r="B20">
        <v>3</v>
      </c>
      <c r="C20" s="8"/>
      <c r="D20" s="1" t="s">
        <v>5</v>
      </c>
      <c r="E20">
        <v>3</v>
      </c>
      <c r="F20" s="8"/>
      <c r="G20" s="1" t="s">
        <v>5</v>
      </c>
      <c r="H20">
        <v>3</v>
      </c>
      <c r="I20" s="8"/>
      <c r="J20" s="1" t="s">
        <v>5</v>
      </c>
      <c r="K20">
        <v>3</v>
      </c>
      <c r="L20" s="8"/>
      <c r="M20" s="1" t="s">
        <v>5</v>
      </c>
      <c r="N20">
        <v>3</v>
      </c>
      <c r="O20" s="8"/>
      <c r="P20" s="1" t="s">
        <v>5</v>
      </c>
      <c r="Q20">
        <v>3</v>
      </c>
      <c r="R20" s="8"/>
      <c r="S20" s="1" t="s">
        <v>5</v>
      </c>
      <c r="T20">
        <v>3</v>
      </c>
      <c r="U20" s="8"/>
    </row>
    <row r="21" spans="1:21" x14ac:dyDescent="0.25">
      <c r="A21" s="1" t="s">
        <v>4</v>
      </c>
      <c r="B21" s="5">
        <f>B20*$B$2*$B$3</f>
        <v>131807542582800</v>
      </c>
      <c r="C21" s="8"/>
      <c r="D21" s="1" t="s">
        <v>4</v>
      </c>
      <c r="E21" s="5">
        <f>E20*$E$2*$E$3</f>
        <v>158169051099360</v>
      </c>
      <c r="F21" s="8"/>
      <c r="G21" s="1" t="s">
        <v>4</v>
      </c>
      <c r="H21" s="5">
        <f>H20*$H$2*$H$3</f>
        <v>197711313874200</v>
      </c>
      <c r="I21" s="8"/>
      <c r="J21" s="1" t="s">
        <v>4</v>
      </c>
      <c r="K21" s="5">
        <f>K20*$K$2*$K$3</f>
        <v>224072822390760</v>
      </c>
      <c r="L21" s="8"/>
      <c r="M21" s="1" t="s">
        <v>4</v>
      </c>
      <c r="N21" s="5">
        <f>N20*$N$2*$N$3</f>
        <v>263615085165600</v>
      </c>
      <c r="O21" s="8"/>
      <c r="P21" s="1" t="s">
        <v>4</v>
      </c>
      <c r="Q21" s="5">
        <f>Q20*$Q$2*$Q$3</f>
        <v>474507153298079.94</v>
      </c>
      <c r="R21" s="8"/>
      <c r="S21" s="1" t="s">
        <v>4</v>
      </c>
      <c r="T21" s="5">
        <f>T20*$T$2*$T$3</f>
        <v>988556569371000</v>
      </c>
      <c r="U21" s="8"/>
    </row>
    <row r="22" spans="1:21" x14ac:dyDescent="0.25">
      <c r="A22" s="4" t="s">
        <v>29</v>
      </c>
      <c r="B22" s="4"/>
      <c r="C22" s="8"/>
      <c r="D22" s="4" t="s">
        <v>29</v>
      </c>
      <c r="E22" s="4"/>
      <c r="F22" s="8"/>
      <c r="G22" s="4" t="s">
        <v>29</v>
      </c>
      <c r="H22" s="4"/>
      <c r="I22" s="8"/>
      <c r="J22" s="4" t="s">
        <v>29</v>
      </c>
      <c r="K22" s="4"/>
      <c r="L22" s="8"/>
      <c r="M22" s="4" t="s">
        <v>29</v>
      </c>
      <c r="N22" s="4"/>
      <c r="O22" s="8"/>
      <c r="P22" s="4" t="s">
        <v>29</v>
      </c>
      <c r="Q22" s="4"/>
      <c r="R22" s="8"/>
      <c r="S22" s="4" t="s">
        <v>29</v>
      </c>
      <c r="T22" s="4"/>
      <c r="U22" s="8"/>
    </row>
    <row r="23" spans="1:21" x14ac:dyDescent="0.25">
      <c r="A23" s="1" t="s">
        <v>5</v>
      </c>
      <c r="B23">
        <v>4</v>
      </c>
      <c r="C23" s="8"/>
      <c r="D23" s="1" t="s">
        <v>5</v>
      </c>
      <c r="E23">
        <v>4</v>
      </c>
      <c r="F23" s="8"/>
      <c r="G23" s="1" t="s">
        <v>5</v>
      </c>
      <c r="H23">
        <v>4</v>
      </c>
      <c r="I23" s="8"/>
      <c r="J23" s="1" t="s">
        <v>5</v>
      </c>
      <c r="K23">
        <v>4</v>
      </c>
      <c r="L23" s="8"/>
      <c r="M23" s="1" t="s">
        <v>5</v>
      </c>
      <c r="N23">
        <v>4</v>
      </c>
      <c r="O23" s="8"/>
      <c r="P23" s="1" t="s">
        <v>5</v>
      </c>
      <c r="Q23">
        <v>4</v>
      </c>
      <c r="R23" s="8"/>
      <c r="S23" s="1" t="s">
        <v>5</v>
      </c>
      <c r="T23">
        <v>4</v>
      </c>
      <c r="U23" s="8"/>
    </row>
    <row r="24" spans="1:21" x14ac:dyDescent="0.25">
      <c r="A24" s="1" t="s">
        <v>4</v>
      </c>
      <c r="B24" s="5">
        <f>B23*$B$2*$B$3</f>
        <v>175743390110400</v>
      </c>
      <c r="C24" s="8"/>
      <c r="D24" s="1" t="s">
        <v>4</v>
      </c>
      <c r="E24" s="5">
        <f>E23*$E$2*$E$3</f>
        <v>210892068132480</v>
      </c>
      <c r="F24" s="8"/>
      <c r="G24" s="1" t="s">
        <v>4</v>
      </c>
      <c r="H24" s="5">
        <f>H23*$H$2*$H$3</f>
        <v>263615085165600</v>
      </c>
      <c r="I24" s="8"/>
      <c r="J24" s="1" t="s">
        <v>4</v>
      </c>
      <c r="K24" s="5">
        <f>K23*$K$2*$K$3</f>
        <v>298763763187680</v>
      </c>
      <c r="L24" s="8"/>
      <c r="M24" s="1" t="s">
        <v>4</v>
      </c>
      <c r="N24" s="5">
        <f>N23*$N$2*$N$3</f>
        <v>351486780220800</v>
      </c>
      <c r="O24" s="8"/>
      <c r="P24" s="1" t="s">
        <v>4</v>
      </c>
      <c r="Q24" s="5">
        <f>Q23*$Q$2*$Q$3</f>
        <v>632676204397439.88</v>
      </c>
      <c r="R24" s="8"/>
      <c r="S24" s="1" t="s">
        <v>4</v>
      </c>
      <c r="T24" s="25">
        <f>T23*$T$2*$T$3</f>
        <v>1318075425828000</v>
      </c>
      <c r="U24" s="8"/>
    </row>
    <row r="25" spans="1:2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7" spans="1:21" x14ac:dyDescent="0.25">
      <c r="A27" s="27" t="s">
        <v>18</v>
      </c>
      <c r="B27" s="16" t="s">
        <v>11</v>
      </c>
      <c r="C27" s="16"/>
      <c r="D27" s="15" t="s">
        <v>12</v>
      </c>
    </row>
    <row r="28" spans="1:21" x14ac:dyDescent="0.25">
      <c r="A28" s="8"/>
      <c r="B28" s="18" t="s">
        <v>21</v>
      </c>
      <c r="C28" s="18" t="s">
        <v>22</v>
      </c>
    </row>
    <row r="29" spans="1:21" x14ac:dyDescent="0.25">
      <c r="A29" s="28" t="s">
        <v>19</v>
      </c>
      <c r="B29" s="24">
        <v>1E+18</v>
      </c>
      <c r="C29" s="8"/>
    </row>
    <row r="30" spans="1:21" x14ac:dyDescent="0.25">
      <c r="A30" s="28" t="s">
        <v>20</v>
      </c>
      <c r="B30" s="8"/>
      <c r="C30" s="17" t="s">
        <v>23</v>
      </c>
    </row>
    <row r="31" spans="1:21" x14ac:dyDescent="0.25">
      <c r="A31" s="20"/>
      <c r="B31" s="20"/>
      <c r="C31" s="21"/>
    </row>
    <row r="32" spans="1:21" x14ac:dyDescent="0.25">
      <c r="A32" s="26" t="s">
        <v>25</v>
      </c>
      <c r="B32" s="26"/>
    </row>
    <row r="33" spans="1:3" x14ac:dyDescent="0.25">
      <c r="A33" s="19" t="s">
        <v>27</v>
      </c>
    </row>
    <row r="34" spans="1:3" x14ac:dyDescent="0.25">
      <c r="A34" t="s">
        <v>24</v>
      </c>
    </row>
    <row r="35" spans="1:3" x14ac:dyDescent="0.25">
      <c r="A35" t="s">
        <v>34</v>
      </c>
    </row>
    <row r="37" spans="1:3" x14ac:dyDescent="0.25">
      <c r="A37" s="18" t="s">
        <v>21</v>
      </c>
      <c r="B37">
        <f>1000000000000000000</f>
        <v>1E+18</v>
      </c>
    </row>
    <row r="38" spans="1:3" x14ac:dyDescent="0.25">
      <c r="A38" s="22" t="s">
        <v>22</v>
      </c>
      <c r="B38" s="25">
        <v>1318075425828000</v>
      </c>
    </row>
    <row r="39" spans="1:3" ht="15.75" thickBot="1" x14ac:dyDescent="0.3">
      <c r="A39" s="22" t="s">
        <v>26</v>
      </c>
      <c r="B39" s="29">
        <f>QUOTIENT(B37*1000000000000000000,B38*1000000000000000000)</f>
        <v>758</v>
      </c>
      <c r="C39" s="23" t="str">
        <f>IF(B39&lt;1, "LESS THAN ONE", "GOOD")</f>
        <v>GOOD</v>
      </c>
    </row>
    <row r="41" spans="1:3" x14ac:dyDescent="0.25">
      <c r="A41" s="26" t="s">
        <v>30</v>
      </c>
      <c r="B41" s="26"/>
    </row>
    <row r="42" spans="1:3" x14ac:dyDescent="0.25">
      <c r="A42" t="s">
        <v>31</v>
      </c>
    </row>
    <row r="43" spans="1:3" x14ac:dyDescent="0.25">
      <c r="A43" t="s">
        <v>32</v>
      </c>
    </row>
    <row r="44" spans="1:3" x14ac:dyDescent="0.25">
      <c r="A44" s="1" t="s">
        <v>33</v>
      </c>
    </row>
  </sheetData>
  <mergeCells count="42">
    <mergeCell ref="P22:Q22"/>
    <mergeCell ref="S22:T22"/>
    <mergeCell ref="B27:C27"/>
    <mergeCell ref="M16:N16"/>
    <mergeCell ref="P16:Q16"/>
    <mergeCell ref="S16:T16"/>
    <mergeCell ref="M19:N19"/>
    <mergeCell ref="P19:Q19"/>
    <mergeCell ref="S19:T19"/>
    <mergeCell ref="M22:N22"/>
    <mergeCell ref="G19:H19"/>
    <mergeCell ref="G22:H22"/>
    <mergeCell ref="J1:K1"/>
    <mergeCell ref="J4:K4"/>
    <mergeCell ref="J7:K7"/>
    <mergeCell ref="J10:K10"/>
    <mergeCell ref="J13:K13"/>
    <mergeCell ref="J16:K16"/>
    <mergeCell ref="J19:K19"/>
    <mergeCell ref="J22:K22"/>
    <mergeCell ref="G1:H1"/>
    <mergeCell ref="G4:H4"/>
    <mergeCell ref="G7:H7"/>
    <mergeCell ref="G10:H10"/>
    <mergeCell ref="G13:H13"/>
    <mergeCell ref="G16:H16"/>
    <mergeCell ref="D1:E1"/>
    <mergeCell ref="D4:E4"/>
    <mergeCell ref="D7:E7"/>
    <mergeCell ref="D10:E10"/>
    <mergeCell ref="D13:E13"/>
    <mergeCell ref="D16:E16"/>
    <mergeCell ref="A7:B7"/>
    <mergeCell ref="A13:B13"/>
    <mergeCell ref="A22:B22"/>
    <mergeCell ref="D19:E19"/>
    <mergeCell ref="D22:E22"/>
    <mergeCell ref="A19:B19"/>
    <mergeCell ref="A1:B1"/>
    <mergeCell ref="A4:B4"/>
    <mergeCell ref="A10:B10"/>
    <mergeCell ref="A16:B16"/>
  </mergeCells>
  <conditionalFormatting sqref="C39">
    <cfRule type="cellIs" dxfId="1" priority="1" operator="greaterThan">
      <formula>1</formula>
    </cfRule>
    <cfRule type="cellIs" dxfId="0" priority="2" operator="less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Pandian</dc:creator>
  <cp:lastModifiedBy>Raja Pandian</cp:lastModifiedBy>
  <dcterms:created xsi:type="dcterms:W3CDTF">2025-04-02T08:00:11Z</dcterms:created>
  <dcterms:modified xsi:type="dcterms:W3CDTF">2025-04-02T09:15:10Z</dcterms:modified>
</cp:coreProperties>
</file>